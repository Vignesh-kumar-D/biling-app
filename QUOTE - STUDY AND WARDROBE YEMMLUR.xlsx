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29820f9f7209eaf5/HSI - CLOUD/Project wise/Study tabel Yemmalur/"/>
    </mc:Choice>
  </mc:AlternateContent>
  <xr:revisionPtr revIDLastSave="186" documentId="13_ncr:1_{12E83F7B-7FF3-4328-8531-53CA1F4B83C8}" xr6:coauthVersionLast="47" xr6:coauthVersionMax="47" xr10:uidLastSave="{B7B59C9E-D3C8-4B41-83F2-0EC3426E8568}"/>
  <bookViews>
    <workbookView xWindow="-108" yWindow="-108" windowWidth="23256" windowHeight="12456" activeTab="2" xr2:uid="{13CD419C-351C-48AD-95B7-AFE2816F10B3}"/>
  </bookViews>
  <sheets>
    <sheet name="Sheet1" sheetId="1" r:id="rId1"/>
    <sheet name="12-09" sheetId="3" r:id="rId2"/>
    <sheet name="07-01" sheetId="4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29" i="4" l="1"/>
  <c r="J22" i="4"/>
  <c r="J21" i="4"/>
  <c r="D17" i="4"/>
  <c r="H17" i="4" s="1"/>
  <c r="J17" i="4" s="1"/>
  <c r="D13" i="4"/>
  <c r="H13" i="4" s="1"/>
  <c r="J13" i="4" s="1"/>
  <c r="D6" i="4"/>
  <c r="H6" i="4" s="1"/>
  <c r="J6" i="4" s="1"/>
  <c r="D2" i="4"/>
  <c r="H2" i="4" s="1"/>
  <c r="J2" i="4" s="1"/>
  <c r="H9" i="4"/>
  <c r="J9" i="4" s="1"/>
  <c r="D8" i="1" l="1"/>
  <c r="F15" i="1" l="1"/>
  <c r="F7" i="1"/>
  <c r="F4" i="1"/>
  <c r="F16" i="1"/>
  <c r="F24" i="1"/>
  <c r="F27" i="1"/>
  <c r="F28" i="1"/>
  <c r="F29" i="1"/>
  <c r="D29" i="1"/>
  <c r="F14" i="1"/>
  <c r="F11" i="1"/>
  <c r="F8" i="1"/>
  <c r="F6" i="1"/>
  <c r="F5" i="1"/>
  <c r="F17" i="1"/>
  <c r="F13" i="1"/>
  <c r="F12" i="1"/>
  <c r="F10" i="1"/>
  <c r="D10" i="1"/>
  <c r="D9" i="1"/>
  <c r="F9" i="1" s="1"/>
  <c r="F20" i="1" l="1"/>
  <c r="G21" i="1" s="1"/>
  <c r="H21" i="1" s="1"/>
  <c r="J3" i="3" l="1"/>
  <c r="J2" i="3"/>
  <c r="K5" i="3"/>
  <c r="K4" i="3"/>
  <c r="K3" i="3"/>
  <c r="K2" i="3"/>
  <c r="F11" i="3"/>
  <c r="G11" i="3" s="1"/>
  <c r="K11" i="3" s="1"/>
  <c r="F10" i="3"/>
  <c r="E10" i="3"/>
  <c r="G5" i="3"/>
  <c r="J5" i="3" s="1"/>
  <c r="G4" i="3"/>
  <c r="J4" i="3" s="1"/>
  <c r="G3" i="3"/>
  <c r="G2" i="3"/>
  <c r="G9" i="3"/>
  <c r="K9" i="3" s="1"/>
  <c r="G8" i="3"/>
  <c r="K8" i="3" s="1"/>
  <c r="F7" i="3"/>
  <c r="G7" i="3" s="1"/>
  <c r="K7" i="3" s="1"/>
  <c r="F6" i="3"/>
  <c r="J7" i="3" l="1"/>
  <c r="J8" i="3"/>
  <c r="J9" i="3"/>
  <c r="J11" i="3"/>
  <c r="G10" i="3"/>
  <c r="G6" i="3"/>
  <c r="K6" i="3" l="1"/>
  <c r="J6" i="3"/>
  <c r="J14" i="3" s="1"/>
  <c r="K10" i="3"/>
  <c r="J10" i="3"/>
  <c r="K14" i="3" l="1"/>
</calcChain>
</file>

<file path=xl/sharedStrings.xml><?xml version="1.0" encoding="utf-8"?>
<sst xmlns="http://schemas.openxmlformats.org/spreadsheetml/2006/main" count="122" uniqueCount="86">
  <si>
    <t>S.NO</t>
  </si>
  <si>
    <t>ROOM</t>
  </si>
  <si>
    <t xml:space="preserve">ITEM </t>
  </si>
  <si>
    <t xml:space="preserve">FINISH </t>
  </si>
  <si>
    <t>GENERAL</t>
  </si>
  <si>
    <t xml:space="preserve">TRANSPORTATION AND HANDELING </t>
  </si>
  <si>
    <t>TOTAL</t>
  </si>
  <si>
    <t xml:space="preserve">BASIC FLOOR PROTECTION  ( ONLY ON WORKING AREA ) </t>
  </si>
  <si>
    <t xml:space="preserve">KBR </t>
  </si>
  <si>
    <t>STUDY TABLE 1 - WALL UNIT ( SHUTTER)</t>
  </si>
  <si>
    <t>STUDY TABLE 1 - WALL UNIT ( OPEN BOX)</t>
  </si>
  <si>
    <t>CARCASS PLY - MR
HANDLES - WALL GOLA  
LAM - 1600 RS /SHEET 
DEPTH  - 320MM 
SHUTTER - HDHMR 
SHELVES - PLY ADJ 1NO</t>
  </si>
  <si>
    <t>CARCASS PLY - MR 
LAM - 1600 RS /SHEET 
DEPTH  - 320MM 
SHUTTER - HDHMR 
SHELVES - PLY ADJ 1NO</t>
  </si>
  <si>
    <t>STUDY TABLE 1 - MARKER BOARD</t>
  </si>
  <si>
    <t>MATERIAL - HDHMR 
FINISH - MARKER LAM 
LAM - 1600 RS /SHEET 
DEPTH  - 12MM HDHMR BACKING  
FIXTURE - WALL BARACKETS</t>
  </si>
  <si>
    <t xml:space="preserve">STUDY TABLE 1 - BASE UNIT </t>
  </si>
  <si>
    <t xml:space="preserve">CARCASS PLY - MR
HANDLES - WALL GOLA  
LAM - 1600 RS /SHEET 
DEPTH  - 600MM
SHUTTER - HDHMR 
FIXTURE - WALL MOUTING HEAVY DUTY RODS 
DRAWERS - 2NO 
DRAWER MECHANISH - TELESCOPIC SOFT CLOSE CHANNELS </t>
  </si>
  <si>
    <t>STUDY TABLE 2 - WALL UNIT ( SHUTTER)</t>
  </si>
  <si>
    <t>STUDY TABLE 2 - WALL UNIT ( OPEN BOX)</t>
  </si>
  <si>
    <t>STUDY TABLE 2 - MARKER BOARD</t>
  </si>
  <si>
    <t xml:space="preserve">STUDY TABLE 2 - BASE UNIT </t>
  </si>
  <si>
    <t>Sl No</t>
  </si>
  <si>
    <t>Item</t>
  </si>
  <si>
    <t>Qty</t>
  </si>
  <si>
    <t>Price</t>
  </si>
  <si>
    <t>16 mm Ply</t>
  </si>
  <si>
    <t>Hardwear</t>
  </si>
  <si>
    <t>Labour ( Instalation )</t>
  </si>
  <si>
    <t>hinges and push to open</t>
  </si>
  <si>
    <t>Total</t>
  </si>
  <si>
    <t>Per SFT</t>
  </si>
  <si>
    <t>FRAMING LOFT</t>
  </si>
  <si>
    <t xml:space="preserve">FRAMING PLY - MR
HANDLES - PUSH TO OPEN 
LAM - 1600 RS /SHEET 
HARDWARE - EBCO S/C HINGES 
SHUTTER - HDHMR </t>
  </si>
  <si>
    <t xml:space="preserve">WARDROBE </t>
  </si>
  <si>
    <t>BED ROOM</t>
  </si>
  <si>
    <t>CARCASS PLY - MR
LAM - 1600/ SHEETS
CARCASS THICKNESS -16MM(CALIBRATED)
SHUTTER - HDHMR
HANDLES -300RS 
LARGER SIZE DRAWERS (QUADRO CHANNEL)- 1NO</t>
  </si>
  <si>
    <t>HEIGHT 
( in MM )</t>
  </si>
  <si>
    <t>WIDTH 
( in MM )</t>
  </si>
  <si>
    <t>OLD RATE 
PER SQFT</t>
  </si>
  <si>
    <t>OLD 
AMOUNT</t>
  </si>
  <si>
    <t xml:space="preserve">AMOUNT </t>
  </si>
  <si>
    <t>RATE 
PER SQFT</t>
  </si>
  <si>
    <t>AREA
SQFT</t>
  </si>
  <si>
    <t xml:space="preserve">PARENTS BR </t>
  </si>
  <si>
    <t>REF 1304- 30. gbr wardrobe - hinges wardrobe</t>
  </si>
  <si>
    <t>6 mm Ply</t>
  </si>
  <si>
    <t>Block board</t>
  </si>
  <si>
    <t xml:space="preserve">exposed lam </t>
  </si>
  <si>
    <t>0.8 Inner Laminate</t>
  </si>
  <si>
    <t>Factory 16mm</t>
  </si>
  <si>
    <t>Factory 6mm</t>
  </si>
  <si>
    <t>0.8mm Edge Binding</t>
  </si>
  <si>
    <t xml:space="preserve">2mm Edge Binding </t>
  </si>
  <si>
    <t xml:space="preserve">PROBOND </t>
  </si>
  <si>
    <t>GOLA PROFILE/ handle &amp; lock</t>
  </si>
  <si>
    <t xml:space="preserve">DR WHEELS </t>
  </si>
  <si>
    <t>GLASS</t>
  </si>
  <si>
    <t>PBR - FF</t>
  </si>
  <si>
    <t>HINGED WARDROBE - MR ( LAM)</t>
  </si>
  <si>
    <t>AREA</t>
  </si>
  <si>
    <t xml:space="preserve">S.NO </t>
  </si>
  <si>
    <t xml:space="preserve">ROOM </t>
  </si>
  <si>
    <t>ITEM</t>
  </si>
  <si>
    <t>WIDTH
- IN MM</t>
  </si>
  <si>
    <t>HEIGTH 
- IN MM</t>
  </si>
  <si>
    <t>DEPTH 
- IN MM</t>
  </si>
  <si>
    <t xml:space="preserve">QUANTITY </t>
  </si>
  <si>
    <t>AREA 
IN SQFT</t>
  </si>
  <si>
    <t>RATE 
PER 
SQFT</t>
  </si>
  <si>
    <t>AMOUNT</t>
  </si>
  <si>
    <t>STUDY TABLE 1 - WALL UNIT</t>
  </si>
  <si>
    <t>Carcse material: 16mm MR 303 Calibrated ply , Shutter - Marine board</t>
  </si>
  <si>
    <t xml:space="preserve">Lam - Matt finsih ( 3100rs/sheet ) Royal touch </t>
  </si>
  <si>
    <t xml:space="preserve">Hardware: Hettich ( soft cloasing ) </t>
  </si>
  <si>
    <t xml:space="preserve">TALL UNIT </t>
  </si>
  <si>
    <t xml:space="preserve">Lam - Matt finsih ( 3100rs/sheet ) Royal touch , Inner lam - 0.8mm lam matching exterior colour </t>
  </si>
  <si>
    <t>Frame material: 16mm MR 303 Calibrated ply , Shutter - Marine board</t>
  </si>
  <si>
    <t xml:space="preserve">AL SHUTTER </t>
  </si>
  <si>
    <t>TALL UNIT - WITH BLACK TINTED GLASS</t>
  </si>
  <si>
    <t xml:space="preserve">WARDROBE AL SHUTTER WITH LED MIRROR </t>
  </si>
  <si>
    <t xml:space="preserve">PIN BOARD </t>
  </si>
  <si>
    <t xml:space="preserve">TO BE ADDED </t>
  </si>
  <si>
    <t xml:space="preserve">APPROX PRICING WILL BE CONFIRMED AFTER ELECTRICIAN SITE VISIT </t>
  </si>
  <si>
    <t>WARDROBE SENSOR LIGHTING AND BELOW MIDDLE UNIT LIGTING</t>
  </si>
  <si>
    <t xml:space="preserve">3D AND 2D DESIGNING </t>
  </si>
  <si>
    <t>LIGTING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</si>
</sst>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 * #,##0.00_ ;_ * \-#,##0.00_ ;_ * &quot;-&quot;??_ ;_ @_ "/>
    <numFmt numFmtId="164" formatCode="_ * #,##0_ ;_ * \-#,##0_ ;_ * &quot;-&quot;??_ ;_ @_ "/>
    <numFmt numFmtId="165" formatCode="_ * #,##0.0_ ;_ * \-#,##0.0_ ;_ * &quot;-&quot;??_ ;_ @_ "/>
    <numFmt numFmtId="166" formatCode="&quot;₹&quot;\ #,##0"/>
    <numFmt numFmtId="167" formatCode="&quot;₹&quot;\ #,##0.0"/>
  </numFmts>
  <fonts count="17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masis MT Pro"/>
      <family val="1"/>
    </font>
    <font>
      <sz val="10"/>
      <color theme="1"/>
      <name val="Times New Roman"/>
      <family val="1"/>
    </font>
    <font>
      <b/>
      <sz val="10"/>
      <color rgb="FFFF0000"/>
      <name val="Times New Roman"/>
      <family val="1"/>
    </font>
    <font>
      <sz val="10"/>
      <color rgb="FFFF0000"/>
      <name val="Times New Roman"/>
      <family val="1"/>
    </font>
    <font>
      <b/>
      <sz val="10"/>
      <color theme="0"/>
      <name val="Times New Roman"/>
      <family val="1"/>
    </font>
    <font>
      <sz val="10"/>
      <color theme="1"/>
      <name val="Aptos Narrow"/>
      <family val="2"/>
      <scheme val="minor"/>
    </font>
    <font>
      <strike/>
      <sz val="10"/>
      <color theme="1"/>
      <name val="Times New Roman"/>
      <family val="1"/>
    </font>
    <font>
      <strike/>
      <sz val="10"/>
      <color rgb="FFFF0000"/>
      <name val="Times New Roman"/>
      <family val="1"/>
    </font>
    <font>
      <sz val="10"/>
      <color rgb="FFFF000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2"/>
      <color rgb="FF7030A0"/>
      <name val="Times New Roman"/>
      <family val="1"/>
    </font>
    <font>
      <b/>
      <sz val="11"/>
      <color theme="1"/>
      <name val="Times New Roman"/>
      <family val="1"/>
    </font>
    <font>
      <b/>
      <sz val="10"/>
      <color rgb="FF7030A0"/>
      <name val="Times New Roman"/>
      <family val="1"/>
    </font>
    <font>
      <b/>
      <sz val="10"/>
      <color theme="1"/>
      <name val="Times New Roman"/>
      <family val="1"/>
    </font>
    <font>
      <b/>
      <sz val="12"/>
      <color rgb="FF7030A0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7030A0"/>
        <bgColor indexed="64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</cellStyleXfs>
  <cellXfs count="74">
    <xf numFmtId="0" fontId="0" fillId="0" borderId="0" xfId="0"/>
    <xf numFmtId="0" fontId="2" fillId="0" borderId="0" xfId="0" applyFont="1"/>
    <xf numFmtId="0" fontId="3" fillId="0" borderId="0" xfId="0" applyFont="1" applyAlignment="1">
      <alignment vertical="center"/>
    </xf>
    <xf numFmtId="0" fontId="7" fillId="0" borderId="0" xfId="0" applyFont="1"/>
    <xf numFmtId="0" fontId="3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left" vertical="center" wrapText="1" indent="1"/>
    </xf>
    <xf numFmtId="0" fontId="5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164" fontId="5" fillId="0" borderId="1" xfId="1" applyNumberFormat="1" applyFont="1" applyBorder="1" applyAlignment="1">
      <alignment horizontal="center" vertical="center"/>
    </xf>
    <xf numFmtId="165" fontId="5" fillId="0" borderId="1" xfId="1" applyNumberFormat="1" applyFont="1" applyBorder="1" applyAlignment="1">
      <alignment horizontal="center" vertical="center"/>
    </xf>
    <xf numFmtId="165" fontId="3" fillId="0" borderId="1" xfId="1" applyNumberFormat="1" applyFont="1" applyBorder="1" applyAlignment="1">
      <alignment horizontal="center" vertical="center"/>
    </xf>
    <xf numFmtId="0" fontId="8" fillId="0" borderId="1" xfId="0" applyFont="1" applyBorder="1" applyAlignment="1">
      <alignment horizontal="center" vertical="center"/>
    </xf>
    <xf numFmtId="43" fontId="8" fillId="0" borderId="1" xfId="1" applyFont="1" applyBorder="1" applyAlignment="1">
      <alignment horizontal="center" vertical="center"/>
    </xf>
    <xf numFmtId="165" fontId="9" fillId="0" borderId="1" xfId="1" applyNumberFormat="1" applyFont="1" applyBorder="1" applyAlignment="1">
      <alignment horizontal="center" vertical="center"/>
    </xf>
    <xf numFmtId="165" fontId="8" fillId="0" borderId="1" xfId="1" applyNumberFormat="1" applyFont="1" applyBorder="1" applyAlignment="1">
      <alignment horizontal="center" vertical="center"/>
    </xf>
    <xf numFmtId="0" fontId="3" fillId="0" borderId="0" xfId="0" applyFont="1" applyAlignment="1">
      <alignment horizontal="left"/>
    </xf>
    <xf numFmtId="43" fontId="3" fillId="0" borderId="0" xfId="1" applyFont="1" applyAlignment="1">
      <alignment horizontal="left"/>
    </xf>
    <xf numFmtId="43" fontId="5" fillId="0" borderId="0" xfId="2" applyFont="1" applyAlignment="1">
      <alignment horizontal="left"/>
    </xf>
    <xf numFmtId="43" fontId="3" fillId="0" borderId="0" xfId="2" applyFont="1" applyAlignment="1">
      <alignment horizontal="left"/>
    </xf>
    <xf numFmtId="0" fontId="5" fillId="0" borderId="0" xfId="0" applyFont="1" applyAlignment="1">
      <alignment horizontal="left"/>
    </xf>
    <xf numFmtId="0" fontId="7" fillId="0" borderId="0" xfId="0" applyFont="1" applyAlignment="1">
      <alignment horizontal="left" vertical="center"/>
    </xf>
    <xf numFmtId="43" fontId="7" fillId="0" borderId="0" xfId="1" applyFont="1"/>
    <xf numFmtId="0" fontId="10" fillId="0" borderId="0" xfId="0" applyFont="1"/>
    <xf numFmtId="164" fontId="10" fillId="0" borderId="0" xfId="1" applyNumberFormat="1" applyFont="1" applyAlignment="1">
      <alignment horizontal="center"/>
    </xf>
    <xf numFmtId="167" fontId="3" fillId="0" borderId="0" xfId="0" applyNumberFormat="1" applyFont="1" applyAlignment="1">
      <alignment horizontal="left"/>
    </xf>
    <xf numFmtId="167" fontId="7" fillId="0" borderId="0" xfId="1" applyNumberFormat="1" applyFont="1" applyAlignment="1">
      <alignment horizontal="center"/>
    </xf>
    <xf numFmtId="43" fontId="3" fillId="0" borderId="1" xfId="1" applyFont="1" applyBorder="1" applyAlignment="1">
      <alignment vertical="center" wrapText="1"/>
    </xf>
    <xf numFmtId="43" fontId="3" fillId="0" borderId="1" xfId="1" applyFont="1" applyBorder="1" applyAlignment="1">
      <alignment vertical="center"/>
    </xf>
    <xf numFmtId="0" fontId="6" fillId="2" borderId="3" xfId="0" applyFont="1" applyFill="1" applyBorder="1" applyAlignment="1">
      <alignment horizontal="center" vertical="center"/>
    </xf>
    <xf numFmtId="0" fontId="6" fillId="2" borderId="4" xfId="0" applyFont="1" applyFill="1" applyBorder="1" applyAlignment="1">
      <alignment horizontal="center" vertical="center"/>
    </xf>
    <xf numFmtId="0" fontId="6" fillId="2" borderId="4" xfId="0" applyFont="1" applyFill="1" applyBorder="1" applyAlignment="1">
      <alignment horizontal="center" vertical="center" wrapText="1"/>
    </xf>
    <xf numFmtId="43" fontId="6" fillId="2" borderId="4" xfId="1" applyFont="1" applyFill="1" applyBorder="1" applyAlignment="1">
      <alignment horizontal="center" vertical="center" wrapText="1"/>
    </xf>
    <xf numFmtId="164" fontId="4" fillId="2" borderId="4" xfId="1" applyNumberFormat="1" applyFont="1" applyFill="1" applyBorder="1" applyAlignment="1">
      <alignment horizontal="center" vertical="center" wrapText="1"/>
    </xf>
    <xf numFmtId="164" fontId="6" fillId="2" borderId="4" xfId="1" applyNumberFormat="1" applyFont="1" applyFill="1" applyBorder="1" applyAlignment="1">
      <alignment horizontal="center" vertical="center" wrapText="1"/>
    </xf>
    <xf numFmtId="167" fontId="6" fillId="2" borderId="5" xfId="1" applyNumberFormat="1" applyFont="1" applyFill="1" applyBorder="1" applyAlignment="1">
      <alignment horizontal="center" vertical="center" wrapText="1"/>
    </xf>
    <xf numFmtId="0" fontId="3" fillId="0" borderId="6" xfId="0" applyFont="1" applyBorder="1" applyAlignment="1">
      <alignment horizontal="center" vertical="center" wrapText="1"/>
    </xf>
    <xf numFmtId="167" fontId="3" fillId="0" borderId="7" xfId="1" applyNumberFormat="1" applyFont="1" applyBorder="1" applyAlignment="1">
      <alignment horizontal="center" vertical="center"/>
    </xf>
    <xf numFmtId="0" fontId="6" fillId="2" borderId="9" xfId="0" applyFont="1" applyFill="1" applyBorder="1" applyAlignment="1">
      <alignment horizontal="center" vertical="center"/>
    </xf>
    <xf numFmtId="166" fontId="4" fillId="2" borderId="9" xfId="1" applyNumberFormat="1" applyFont="1" applyFill="1" applyBorder="1" applyAlignment="1">
      <alignment horizontal="center" vertical="center"/>
    </xf>
    <xf numFmtId="166" fontId="6" fillId="2" borderId="10" xfId="1" applyNumberFormat="1" applyFont="1" applyFill="1" applyBorder="1" applyAlignment="1">
      <alignment horizontal="center" vertical="center"/>
    </xf>
    <xf numFmtId="0" fontId="3" fillId="0" borderId="1" xfId="0" applyFont="1" applyBorder="1" applyAlignment="1">
      <alignment horizontal="left" vertical="center" wrapText="1"/>
    </xf>
    <xf numFmtId="0" fontId="6" fillId="2" borderId="8" xfId="0" applyFont="1" applyFill="1" applyBorder="1" applyAlignment="1">
      <alignment horizontal="center" vertical="center"/>
    </xf>
    <xf numFmtId="0" fontId="6" fillId="2" borderId="9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/>
    <xf numFmtId="0" fontId="0" fillId="0" borderId="1" xfId="0" applyBorder="1" applyAlignment="1">
      <alignment horizontal="center" vertical="top"/>
    </xf>
    <xf numFmtId="0" fontId="0" fillId="0" borderId="2" xfId="0" applyBorder="1" applyAlignment="1">
      <alignment horizontal="center" vertical="center"/>
    </xf>
    <xf numFmtId="1" fontId="0" fillId="0" borderId="0" xfId="0" applyNumberFormat="1" applyAlignment="1">
      <alignment horizontal="center" vertical="center"/>
    </xf>
    <xf numFmtId="0" fontId="0" fillId="0" borderId="0" xfId="0" applyFill="1" applyBorder="1" applyAlignment="1">
      <alignment horizontal="center" vertical="center"/>
    </xf>
    <xf numFmtId="0" fontId="12" fillId="0" borderId="3" xfId="0" applyFont="1" applyBorder="1" applyAlignment="1">
      <alignment horizontal="center" vertical="center"/>
    </xf>
    <xf numFmtId="0" fontId="13" fillId="0" borderId="6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 wrapText="1"/>
    </xf>
    <xf numFmtId="0" fontId="3" fillId="0" borderId="7" xfId="0" applyFont="1" applyBorder="1" applyAlignment="1">
      <alignment horizontal="center" vertical="center" wrapText="1"/>
    </xf>
    <xf numFmtId="0" fontId="14" fillId="0" borderId="4" xfId="0" applyFont="1" applyBorder="1" applyAlignment="1">
      <alignment horizontal="center" vertical="center"/>
    </xf>
    <xf numFmtId="0" fontId="14" fillId="0" borderId="4" xfId="0" applyFont="1" applyBorder="1" applyAlignment="1">
      <alignment horizontal="center" vertical="center" wrapText="1"/>
    </xf>
    <xf numFmtId="43" fontId="14" fillId="0" borderId="4" xfId="1" applyFont="1" applyFill="1" applyBorder="1" applyAlignment="1">
      <alignment horizontal="center" vertical="center" wrapText="1"/>
    </xf>
    <xf numFmtId="166" fontId="14" fillId="0" borderId="5" xfId="0" applyNumberFormat="1" applyFont="1" applyBorder="1" applyAlignment="1">
      <alignment horizontal="center" vertical="center"/>
    </xf>
    <xf numFmtId="0" fontId="15" fillId="0" borderId="1" xfId="0" applyFont="1" applyBorder="1" applyAlignment="1">
      <alignment horizontal="center" vertical="center"/>
    </xf>
    <xf numFmtId="0" fontId="11" fillId="0" borderId="0" xfId="0" applyFont="1"/>
    <xf numFmtId="0" fontId="15" fillId="0" borderId="1" xfId="0" applyFont="1" applyBorder="1" applyAlignment="1">
      <alignment horizontal="center" vertical="center" wrapText="1"/>
    </xf>
    <xf numFmtId="43" fontId="15" fillId="0" borderId="1" xfId="1" applyFont="1" applyFill="1" applyBorder="1" applyAlignment="1">
      <alignment horizontal="center" vertical="center"/>
    </xf>
    <xf numFmtId="166" fontId="15" fillId="0" borderId="7" xfId="0" applyNumberFormat="1" applyFont="1" applyBorder="1" applyAlignment="1">
      <alignment horizontal="center" vertical="center"/>
    </xf>
    <xf numFmtId="0" fontId="15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15" fillId="0" borderId="1" xfId="0" applyFont="1" applyBorder="1" applyAlignment="1">
      <alignment horizontal="center" vertical="center" wrapText="1"/>
    </xf>
    <xf numFmtId="0" fontId="3" fillId="0" borderId="7" xfId="0" applyFont="1" applyBorder="1" applyAlignment="1">
      <alignment horizontal="center" vertical="center"/>
    </xf>
    <xf numFmtId="166" fontId="0" fillId="0" borderId="0" xfId="0" applyNumberFormat="1"/>
    <xf numFmtId="0" fontId="13" fillId="0" borderId="6" xfId="0" applyFont="1" applyBorder="1" applyAlignment="1">
      <alignment horizontal="center" vertical="center"/>
    </xf>
    <xf numFmtId="0" fontId="12" fillId="0" borderId="8" xfId="0" applyFont="1" applyBorder="1" applyAlignment="1">
      <alignment horizontal="center" vertical="center"/>
    </xf>
    <xf numFmtId="0" fontId="12" fillId="0" borderId="9" xfId="0" applyFont="1" applyBorder="1" applyAlignment="1">
      <alignment horizontal="center" vertical="center"/>
    </xf>
    <xf numFmtId="166" fontId="12" fillId="0" borderId="10" xfId="0" applyNumberFormat="1" applyFont="1" applyBorder="1" applyAlignment="1">
      <alignment horizontal="center" vertical="center"/>
    </xf>
    <xf numFmtId="0" fontId="16" fillId="0" borderId="0" xfId="0" applyFont="1"/>
  </cellXfs>
  <cellStyles count="3">
    <cellStyle name="Comma" xfId="1" builtinId="3"/>
    <cellStyle name="Comma 2" xfId="2" xr:uid="{70F04939-D34A-4ECF-BECB-3812A7862586}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30F221-C0FF-44FA-9286-4F31913E52F4}">
  <sheetPr>
    <pageSetUpPr fitToPage="1"/>
  </sheetPr>
  <dimension ref="A1:H29"/>
  <sheetViews>
    <sheetView topLeftCell="A17" zoomScale="165" workbookViewId="0">
      <selection activeCell="G21" sqref="G21"/>
    </sheetView>
  </sheetViews>
  <sheetFormatPr defaultRowHeight="14.4" x14ac:dyDescent="0.3"/>
  <cols>
    <col min="3" max="3" width="27.33203125" bestFit="1" customWidth="1"/>
  </cols>
  <sheetData>
    <row r="1" spans="1:8" x14ac:dyDescent="0.3">
      <c r="A1" s="1"/>
      <c r="B1" s="1">
        <v>14</v>
      </c>
      <c r="C1" s="1" t="s">
        <v>43</v>
      </c>
      <c r="D1" s="1"/>
      <c r="E1" s="1"/>
      <c r="F1" s="1"/>
      <c r="G1" s="1"/>
      <c r="H1" s="1"/>
    </row>
    <row r="2" spans="1:8" x14ac:dyDescent="0.3">
      <c r="B2" s="44" t="s">
        <v>44</v>
      </c>
      <c r="C2" s="44"/>
      <c r="D2" s="44"/>
      <c r="E2" s="44"/>
      <c r="F2" s="44"/>
    </row>
    <row r="3" spans="1:8" x14ac:dyDescent="0.3">
      <c r="B3" s="45" t="s">
        <v>21</v>
      </c>
      <c r="C3" s="45" t="s">
        <v>22</v>
      </c>
      <c r="D3" s="45" t="s">
        <v>23</v>
      </c>
      <c r="E3" s="44" t="s">
        <v>24</v>
      </c>
      <c r="F3" s="44"/>
    </row>
    <row r="4" spans="1:8" x14ac:dyDescent="0.3">
      <c r="B4" s="45">
        <v>1</v>
      </c>
      <c r="C4" s="45" t="s">
        <v>25</v>
      </c>
      <c r="D4" s="45">
        <v>9</v>
      </c>
      <c r="E4" s="45">
        <v>65</v>
      </c>
      <c r="F4" s="45">
        <f>8*4*E4*D4</f>
        <v>18720</v>
      </c>
    </row>
    <row r="5" spans="1:8" x14ac:dyDescent="0.3">
      <c r="B5" s="45">
        <v>2</v>
      </c>
      <c r="C5" s="45" t="s">
        <v>45</v>
      </c>
      <c r="D5" s="45">
        <v>3.25</v>
      </c>
      <c r="E5" s="45">
        <v>40</v>
      </c>
      <c r="F5" s="45">
        <f>8*4*E5*D5</f>
        <v>4160</v>
      </c>
    </row>
    <row r="6" spans="1:8" x14ac:dyDescent="0.3">
      <c r="B6" s="45">
        <v>3</v>
      </c>
      <c r="C6" s="45" t="s">
        <v>46</v>
      </c>
      <c r="D6" s="45">
        <v>9</v>
      </c>
      <c r="E6" s="45">
        <v>70</v>
      </c>
      <c r="F6" s="45">
        <f>8*4*E6*D6</f>
        <v>20160</v>
      </c>
    </row>
    <row r="7" spans="1:8" x14ac:dyDescent="0.3">
      <c r="B7" s="45">
        <v>4</v>
      </c>
      <c r="C7" s="45" t="s">
        <v>47</v>
      </c>
      <c r="D7" s="46">
        <v>12</v>
      </c>
      <c r="E7" s="46"/>
      <c r="F7" s="45">
        <f>10*3100+2000+1600</f>
        <v>34600</v>
      </c>
    </row>
    <row r="8" spans="1:8" x14ac:dyDescent="0.3">
      <c r="B8" s="45">
        <v>5</v>
      </c>
      <c r="C8" s="45" t="s">
        <v>48</v>
      </c>
      <c r="D8" s="45">
        <f>D4*2+D5*2+D6*2-D7</f>
        <v>30.5</v>
      </c>
      <c r="E8" s="45">
        <v>430</v>
      </c>
      <c r="F8" s="45">
        <f>E8*D8</f>
        <v>13115</v>
      </c>
    </row>
    <row r="9" spans="1:8" x14ac:dyDescent="0.3">
      <c r="B9" s="45">
        <v>6</v>
      </c>
      <c r="C9" s="45" t="s">
        <v>49</v>
      </c>
      <c r="D9" s="45">
        <f>D4</f>
        <v>9</v>
      </c>
      <c r="E9" s="45">
        <v>35</v>
      </c>
      <c r="F9" s="45">
        <f>8*4*E9*D9</f>
        <v>10080</v>
      </c>
    </row>
    <row r="10" spans="1:8" x14ac:dyDescent="0.3">
      <c r="B10" s="45">
        <v>7</v>
      </c>
      <c r="C10" s="45" t="s">
        <v>50</v>
      </c>
      <c r="D10" s="45">
        <f>D5</f>
        <v>3.25</v>
      </c>
      <c r="E10" s="45">
        <v>21</v>
      </c>
      <c r="F10" s="45">
        <f>8*6*E10*D10</f>
        <v>3276</v>
      </c>
    </row>
    <row r="11" spans="1:8" x14ac:dyDescent="0.3">
      <c r="B11" s="45">
        <v>8</v>
      </c>
      <c r="C11" s="45" t="s">
        <v>51</v>
      </c>
      <c r="D11" s="45">
        <v>230</v>
      </c>
      <c r="E11" s="45">
        <v>15</v>
      </c>
      <c r="F11" s="45">
        <f>D11*E11</f>
        <v>3450</v>
      </c>
    </row>
    <row r="12" spans="1:8" x14ac:dyDescent="0.3">
      <c r="B12" s="45">
        <v>9</v>
      </c>
      <c r="C12" s="45" t="s">
        <v>52</v>
      </c>
      <c r="D12" s="45">
        <v>78</v>
      </c>
      <c r="E12" s="45">
        <v>50</v>
      </c>
      <c r="F12" s="45">
        <f>D12*E12</f>
        <v>3900</v>
      </c>
    </row>
    <row r="13" spans="1:8" x14ac:dyDescent="0.3">
      <c r="B13" s="45"/>
      <c r="C13" s="45" t="s">
        <v>53</v>
      </c>
      <c r="D13" s="45"/>
      <c r="E13" s="45">
        <v>300</v>
      </c>
      <c r="F13" s="45">
        <f>D13*E13</f>
        <v>0</v>
      </c>
    </row>
    <row r="14" spans="1:8" x14ac:dyDescent="0.3">
      <c r="B14" s="45">
        <v>10</v>
      </c>
      <c r="C14" s="45" t="s">
        <v>54</v>
      </c>
      <c r="D14" s="45"/>
      <c r="E14" s="45">
        <v>300</v>
      </c>
      <c r="F14" s="45">
        <f>2*400+3*300+5*100+1500</f>
        <v>3700</v>
      </c>
    </row>
    <row r="15" spans="1:8" x14ac:dyDescent="0.3">
      <c r="B15" s="45">
        <v>11</v>
      </c>
      <c r="C15" s="45" t="s">
        <v>26</v>
      </c>
      <c r="D15" s="45"/>
      <c r="E15" s="47">
        <v>120</v>
      </c>
      <c r="F15" s="45">
        <f>250*15+5000+150+2500</f>
        <v>11400</v>
      </c>
    </row>
    <row r="16" spans="1:8" x14ac:dyDescent="0.3">
      <c r="B16" s="45">
        <v>12</v>
      </c>
      <c r="C16" s="45" t="s">
        <v>27</v>
      </c>
      <c r="D16" s="45">
        <v>160</v>
      </c>
      <c r="E16" s="45">
        <v>180</v>
      </c>
      <c r="F16" s="45">
        <f>E16*D16</f>
        <v>28800</v>
      </c>
    </row>
    <row r="17" spans="1:8" x14ac:dyDescent="0.3">
      <c r="B17" s="45"/>
      <c r="C17" s="48" t="s">
        <v>55</v>
      </c>
      <c r="D17" s="48"/>
      <c r="E17" s="48">
        <v>400</v>
      </c>
      <c r="F17" s="48">
        <f>D17*E17</f>
        <v>0</v>
      </c>
    </row>
    <row r="18" spans="1:8" x14ac:dyDescent="0.3">
      <c r="B18" s="45"/>
      <c r="C18" s="48" t="s">
        <v>56</v>
      </c>
      <c r="D18" s="48"/>
      <c r="E18" s="48"/>
      <c r="F18" s="48"/>
    </row>
    <row r="19" spans="1:8" x14ac:dyDescent="0.3">
      <c r="B19" s="45">
        <v>13</v>
      </c>
      <c r="C19" s="48" t="s">
        <v>28</v>
      </c>
      <c r="D19" s="48">
        <v>0</v>
      </c>
      <c r="E19" s="48"/>
      <c r="F19" s="48"/>
      <c r="G19" s="48"/>
    </row>
    <row r="20" spans="1:8" x14ac:dyDescent="0.3">
      <c r="B20" s="45"/>
      <c r="C20" s="45" t="s">
        <v>29</v>
      </c>
      <c r="D20" s="46"/>
      <c r="E20" s="46"/>
      <c r="F20" s="45">
        <f>SUM(F4:F19)</f>
        <v>155361</v>
      </c>
    </row>
    <row r="21" spans="1:8" x14ac:dyDescent="0.3">
      <c r="A21">
        <v>14</v>
      </c>
      <c r="B21" t="s">
        <v>57</v>
      </c>
      <c r="C21" s="48" t="s">
        <v>58</v>
      </c>
      <c r="D21" t="s">
        <v>30</v>
      </c>
      <c r="E21" s="49">
        <v>124</v>
      </c>
      <c r="F21" s="48">
        <v>124</v>
      </c>
      <c r="G21">
        <f>F20/F21*1.3</f>
        <v>1628.7846774193549</v>
      </c>
      <c r="H21">
        <f>G21*F21</f>
        <v>201969.30000000002</v>
      </c>
    </row>
    <row r="24" spans="1:8" x14ac:dyDescent="0.3">
      <c r="C24" s="50" t="s">
        <v>59</v>
      </c>
      <c r="D24">
        <v>3156</v>
      </c>
      <c r="E24">
        <v>690</v>
      </c>
      <c r="F24">
        <f>E24*D24/300/300</f>
        <v>24.196000000000002</v>
      </c>
    </row>
    <row r="25" spans="1:8" x14ac:dyDescent="0.3">
      <c r="F25">
        <v>4</v>
      </c>
    </row>
    <row r="26" spans="1:8" x14ac:dyDescent="0.3">
      <c r="F26">
        <v>4</v>
      </c>
    </row>
    <row r="27" spans="1:8" x14ac:dyDescent="0.3">
      <c r="D27">
        <v>1200</v>
      </c>
      <c r="E27">
        <v>690</v>
      </c>
      <c r="F27">
        <f>E27*D27/300/300</f>
        <v>9.1999999999999993</v>
      </c>
    </row>
    <row r="28" spans="1:8" x14ac:dyDescent="0.3">
      <c r="D28">
        <v>450</v>
      </c>
      <c r="E28">
        <v>2255</v>
      </c>
      <c r="F28">
        <f>E28*D28/300/300</f>
        <v>11.275</v>
      </c>
    </row>
    <row r="29" spans="1:8" x14ac:dyDescent="0.3">
      <c r="D29">
        <f>2000+1060</f>
        <v>3060</v>
      </c>
      <c r="E29">
        <v>2750</v>
      </c>
      <c r="F29">
        <f>E29*D29/300/300</f>
        <v>93.5</v>
      </c>
    </row>
  </sheetData>
  <mergeCells count="2">
    <mergeCell ref="B2:F2"/>
    <mergeCell ref="E3:F3"/>
  </mergeCells>
  <pageMargins left="0.25" right="0.25" top="0.75" bottom="0.75" header="0.3" footer="0.3"/>
  <pageSetup paperSize="9" scale="47" fitToHeight="0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5F5518-A549-4B06-8551-B1858F2ED7AD}">
  <dimension ref="A1:K15"/>
  <sheetViews>
    <sheetView topLeftCell="A9" zoomScale="77" workbookViewId="0">
      <selection activeCell="C13" sqref="C13:D13"/>
    </sheetView>
  </sheetViews>
  <sheetFormatPr defaultRowHeight="13.8" x14ac:dyDescent="0.3"/>
  <cols>
    <col min="1" max="1" width="7.6640625" style="3" customWidth="1"/>
    <col min="2" max="2" width="12.33203125" style="3" customWidth="1"/>
    <col min="3" max="3" width="36.44140625" style="3" customWidth="1"/>
    <col min="4" max="4" width="33.109375" style="20" customWidth="1"/>
    <col min="5" max="5" width="12.21875" style="3" customWidth="1"/>
    <col min="6" max="6" width="11.44140625" style="3" customWidth="1"/>
    <col min="7" max="7" width="7.88671875" style="21" bestFit="1" customWidth="1"/>
    <col min="8" max="8" width="12.6640625" style="22" hidden="1" customWidth="1"/>
    <col min="9" max="9" width="12.109375" style="3" bestFit="1" customWidth="1"/>
    <col min="10" max="10" width="11.5546875" style="23" hidden="1" customWidth="1"/>
    <col min="11" max="11" width="14.33203125" style="25" bestFit="1" customWidth="1"/>
    <col min="12" max="16384" width="8.88671875" style="3"/>
  </cols>
  <sheetData>
    <row r="1" spans="1:11" ht="42.6" customHeight="1" x14ac:dyDescent="0.3">
      <c r="A1" s="28" t="s">
        <v>0</v>
      </c>
      <c r="B1" s="29" t="s">
        <v>1</v>
      </c>
      <c r="C1" s="29" t="s">
        <v>2</v>
      </c>
      <c r="D1" s="29" t="s">
        <v>3</v>
      </c>
      <c r="E1" s="30" t="s">
        <v>36</v>
      </c>
      <c r="F1" s="30" t="s">
        <v>37</v>
      </c>
      <c r="G1" s="31" t="s">
        <v>42</v>
      </c>
      <c r="H1" s="32" t="s">
        <v>38</v>
      </c>
      <c r="I1" s="33" t="s">
        <v>41</v>
      </c>
      <c r="J1" s="32" t="s">
        <v>39</v>
      </c>
      <c r="K1" s="34" t="s">
        <v>40</v>
      </c>
    </row>
    <row r="2" spans="1:11" ht="106.8" customHeight="1" x14ac:dyDescent="0.3">
      <c r="A2" s="35">
        <v>1</v>
      </c>
      <c r="B2" s="4" t="s">
        <v>8</v>
      </c>
      <c r="C2" s="4" t="s">
        <v>9</v>
      </c>
      <c r="D2" s="5" t="s">
        <v>11</v>
      </c>
      <c r="E2" s="4">
        <v>690</v>
      </c>
      <c r="F2" s="4">
        <v>600</v>
      </c>
      <c r="G2" s="26">
        <f>E2*F2/300/300</f>
        <v>4.5999999999999996</v>
      </c>
      <c r="H2" s="6">
        <v>1550</v>
      </c>
      <c r="I2" s="7">
        <v>1620</v>
      </c>
      <c r="J2" s="8">
        <f>H2*G2</f>
        <v>7129.9999999999991</v>
      </c>
      <c r="K2" s="36">
        <f>I2*G2</f>
        <v>7451.9999999999991</v>
      </c>
    </row>
    <row r="3" spans="1:11" ht="106.8" customHeight="1" x14ac:dyDescent="0.3">
      <c r="A3" s="35">
        <v>2</v>
      </c>
      <c r="B3" s="4" t="s">
        <v>8</v>
      </c>
      <c r="C3" s="4" t="s">
        <v>10</v>
      </c>
      <c r="D3" s="5" t="s">
        <v>12</v>
      </c>
      <c r="E3" s="4">
        <v>690</v>
      </c>
      <c r="F3" s="4">
        <v>600</v>
      </c>
      <c r="G3" s="26">
        <f>E3*F3/300/300</f>
        <v>4.5999999999999996</v>
      </c>
      <c r="H3" s="6">
        <v>2200</v>
      </c>
      <c r="I3" s="7">
        <v>2300</v>
      </c>
      <c r="J3" s="8">
        <f t="shared" ref="J3:J11" si="0">H3*G3</f>
        <v>10120</v>
      </c>
      <c r="K3" s="36">
        <f t="shared" ref="K3:K11" si="1">I3*G3</f>
        <v>10580</v>
      </c>
    </row>
    <row r="4" spans="1:11" ht="106.8" customHeight="1" x14ac:dyDescent="0.3">
      <c r="A4" s="35">
        <v>3</v>
      </c>
      <c r="B4" s="4" t="s">
        <v>8</v>
      </c>
      <c r="C4" s="4" t="s">
        <v>13</v>
      </c>
      <c r="D4" s="5" t="s">
        <v>14</v>
      </c>
      <c r="E4" s="4">
        <v>750</v>
      </c>
      <c r="F4" s="4">
        <v>1200</v>
      </c>
      <c r="G4" s="26">
        <f>E4*F4/300/300</f>
        <v>10</v>
      </c>
      <c r="H4" s="6">
        <v>700</v>
      </c>
      <c r="I4" s="7">
        <v>750</v>
      </c>
      <c r="J4" s="8">
        <f t="shared" si="0"/>
        <v>7000</v>
      </c>
      <c r="K4" s="36">
        <f t="shared" si="1"/>
        <v>7500</v>
      </c>
    </row>
    <row r="5" spans="1:11" ht="169.8" customHeight="1" x14ac:dyDescent="0.3">
      <c r="A5" s="35">
        <v>4</v>
      </c>
      <c r="B5" s="4" t="s">
        <v>8</v>
      </c>
      <c r="C5" s="4" t="s">
        <v>15</v>
      </c>
      <c r="D5" s="5" t="s">
        <v>16</v>
      </c>
      <c r="E5" s="4">
        <v>140</v>
      </c>
      <c r="F5" s="4">
        <v>1200</v>
      </c>
      <c r="G5" s="26">
        <f>E5*F5/300/300</f>
        <v>1.8666666666666667</v>
      </c>
      <c r="H5" s="6">
        <v>4000</v>
      </c>
      <c r="I5" s="7">
        <v>4500</v>
      </c>
      <c r="J5" s="8">
        <f t="shared" si="0"/>
        <v>7466.666666666667</v>
      </c>
      <c r="K5" s="36">
        <f t="shared" si="1"/>
        <v>8400</v>
      </c>
    </row>
    <row r="6" spans="1:11" ht="106.8" customHeight="1" x14ac:dyDescent="0.3">
      <c r="A6" s="35">
        <v>5</v>
      </c>
      <c r="B6" s="4" t="s">
        <v>8</v>
      </c>
      <c r="C6" s="4" t="s">
        <v>17</v>
      </c>
      <c r="D6" s="5" t="s">
        <v>11</v>
      </c>
      <c r="E6" s="4">
        <v>690</v>
      </c>
      <c r="F6" s="4">
        <f>36+693+36+329+36+458+36+458+36+329+36+393+18+291</f>
        <v>3185</v>
      </c>
      <c r="G6" s="26">
        <f>F6*E6/300/300-G7</f>
        <v>21.723888888888887</v>
      </c>
      <c r="H6" s="6">
        <v>1550</v>
      </c>
      <c r="I6" s="7">
        <v>1620</v>
      </c>
      <c r="J6" s="8">
        <f t="shared" si="0"/>
        <v>33672.027777777774</v>
      </c>
      <c r="K6" s="36">
        <f t="shared" si="1"/>
        <v>35192.699999999997</v>
      </c>
    </row>
    <row r="7" spans="1:11" ht="106.8" customHeight="1" x14ac:dyDescent="0.3">
      <c r="A7" s="35">
        <v>6</v>
      </c>
      <c r="B7" s="4" t="s">
        <v>8</v>
      </c>
      <c r="C7" s="4" t="s">
        <v>18</v>
      </c>
      <c r="D7" s="5" t="s">
        <v>12</v>
      </c>
      <c r="E7" s="4">
        <v>250</v>
      </c>
      <c r="F7" s="4">
        <f>934+36</f>
        <v>970</v>
      </c>
      <c r="G7" s="26">
        <f>E7*F7/300/300</f>
        <v>2.6944444444444446</v>
      </c>
      <c r="H7" s="6">
        <v>2200</v>
      </c>
      <c r="I7" s="7">
        <v>2300</v>
      </c>
      <c r="J7" s="8">
        <f t="shared" si="0"/>
        <v>5927.7777777777783</v>
      </c>
      <c r="K7" s="36">
        <f t="shared" si="1"/>
        <v>6197.2222222222226</v>
      </c>
    </row>
    <row r="8" spans="1:11" ht="106.8" customHeight="1" x14ac:dyDescent="0.3">
      <c r="A8" s="35">
        <v>7</v>
      </c>
      <c r="B8" s="4" t="s">
        <v>8</v>
      </c>
      <c r="C8" s="4" t="s">
        <v>19</v>
      </c>
      <c r="D8" s="5" t="s">
        <v>14</v>
      </c>
      <c r="E8" s="4">
        <v>750</v>
      </c>
      <c r="F8" s="4">
        <v>970</v>
      </c>
      <c r="G8" s="26">
        <f>E8*F8/300/300</f>
        <v>8.0833333333333339</v>
      </c>
      <c r="H8" s="6">
        <v>700</v>
      </c>
      <c r="I8" s="7">
        <v>750</v>
      </c>
      <c r="J8" s="8">
        <f t="shared" si="0"/>
        <v>5658.3333333333339</v>
      </c>
      <c r="K8" s="36">
        <f t="shared" si="1"/>
        <v>6062.5</v>
      </c>
    </row>
    <row r="9" spans="1:11" ht="178.2" customHeight="1" x14ac:dyDescent="0.3">
      <c r="A9" s="35">
        <v>8</v>
      </c>
      <c r="B9" s="4" t="s">
        <v>8</v>
      </c>
      <c r="C9" s="4" t="s">
        <v>20</v>
      </c>
      <c r="D9" s="5" t="s">
        <v>16</v>
      </c>
      <c r="E9" s="4">
        <v>140</v>
      </c>
      <c r="F9" s="4">
        <v>970</v>
      </c>
      <c r="G9" s="26">
        <f>E9*F9/300/300</f>
        <v>1.5088888888888889</v>
      </c>
      <c r="H9" s="6">
        <v>4000</v>
      </c>
      <c r="I9" s="7">
        <v>4500</v>
      </c>
      <c r="J9" s="8">
        <f t="shared" si="0"/>
        <v>6035.5555555555557</v>
      </c>
      <c r="K9" s="36">
        <f t="shared" si="1"/>
        <v>6790</v>
      </c>
    </row>
    <row r="10" spans="1:11" ht="134.4" customHeight="1" x14ac:dyDescent="0.3">
      <c r="A10" s="35">
        <v>11</v>
      </c>
      <c r="B10" s="4" t="s">
        <v>34</v>
      </c>
      <c r="C10" s="4" t="s">
        <v>33</v>
      </c>
      <c r="D10" s="5" t="s">
        <v>35</v>
      </c>
      <c r="E10" s="4">
        <f>2100</f>
        <v>2100</v>
      </c>
      <c r="F10" s="4">
        <f>2050+1620-600</f>
        <v>3070</v>
      </c>
      <c r="G10" s="26">
        <f>E10*F10/300/300</f>
        <v>71.63333333333334</v>
      </c>
      <c r="H10" s="6">
        <v>1600</v>
      </c>
      <c r="I10" s="7">
        <v>1650</v>
      </c>
      <c r="J10" s="8">
        <f t="shared" si="0"/>
        <v>114613.33333333334</v>
      </c>
      <c r="K10" s="36">
        <f t="shared" si="1"/>
        <v>118195.00000000001</v>
      </c>
    </row>
    <row r="11" spans="1:11" ht="106.8" customHeight="1" x14ac:dyDescent="0.3">
      <c r="A11" s="35">
        <v>12</v>
      </c>
      <c r="B11" s="4" t="s">
        <v>34</v>
      </c>
      <c r="C11" s="4" t="s">
        <v>31</v>
      </c>
      <c r="D11" s="5" t="s">
        <v>32</v>
      </c>
      <c r="E11" s="4">
        <v>350</v>
      </c>
      <c r="F11" s="4">
        <f>3070+880</f>
        <v>3950</v>
      </c>
      <c r="G11" s="26">
        <f>E11*F11/300/300</f>
        <v>15.361111111111111</v>
      </c>
      <c r="H11" s="6">
        <v>850</v>
      </c>
      <c r="I11" s="7">
        <v>900</v>
      </c>
      <c r="J11" s="8">
        <f t="shared" si="0"/>
        <v>13056.944444444443</v>
      </c>
      <c r="K11" s="36">
        <f t="shared" si="1"/>
        <v>13825</v>
      </c>
    </row>
    <row r="12" spans="1:11" s="2" customFormat="1" ht="43.8" customHeight="1" x14ac:dyDescent="0.3">
      <c r="A12" s="35">
        <v>13</v>
      </c>
      <c r="B12" s="7" t="s">
        <v>4</v>
      </c>
      <c r="C12" s="43" t="s">
        <v>5</v>
      </c>
      <c r="D12" s="43"/>
      <c r="E12" s="7"/>
      <c r="F12" s="7"/>
      <c r="G12" s="27"/>
      <c r="H12" s="9"/>
      <c r="I12" s="10"/>
      <c r="J12" s="8">
        <v>7500</v>
      </c>
      <c r="K12" s="36">
        <v>7500</v>
      </c>
    </row>
    <row r="13" spans="1:11" s="2" customFormat="1" ht="36" customHeight="1" x14ac:dyDescent="0.3">
      <c r="A13" s="35">
        <v>14</v>
      </c>
      <c r="B13" s="7" t="s">
        <v>4</v>
      </c>
      <c r="C13" s="40" t="s">
        <v>7</v>
      </c>
      <c r="D13" s="40"/>
      <c r="E13" s="11"/>
      <c r="F13" s="11"/>
      <c r="G13" s="12"/>
      <c r="H13" s="13"/>
      <c r="I13" s="14"/>
      <c r="J13" s="8">
        <v>6000</v>
      </c>
      <c r="K13" s="36">
        <v>6000</v>
      </c>
    </row>
    <row r="14" spans="1:11" ht="43.8" customHeight="1" thickBot="1" x14ac:dyDescent="0.35">
      <c r="A14" s="41" t="s">
        <v>6</v>
      </c>
      <c r="B14" s="42"/>
      <c r="C14" s="42"/>
      <c r="D14" s="42"/>
      <c r="E14" s="42"/>
      <c r="F14" s="42"/>
      <c r="G14" s="42"/>
      <c r="H14" s="42"/>
      <c r="I14" s="37"/>
      <c r="J14" s="38">
        <f>SUM(J2:J13)</f>
        <v>224180.63888888888</v>
      </c>
      <c r="K14" s="39">
        <f>SUM(K2:K13)</f>
        <v>233694.42222222223</v>
      </c>
    </row>
    <row r="15" spans="1:11" x14ac:dyDescent="0.3">
      <c r="A15" s="15"/>
      <c r="B15" s="15"/>
      <c r="C15" s="15"/>
      <c r="D15" s="15"/>
      <c r="E15" s="15"/>
      <c r="F15" s="15"/>
      <c r="G15" s="16"/>
      <c r="H15" s="17"/>
      <c r="I15" s="18"/>
      <c r="J15" s="19"/>
      <c r="K15" s="24"/>
    </row>
  </sheetData>
  <mergeCells count="3">
    <mergeCell ref="C13:D13"/>
    <mergeCell ref="A14:H14"/>
    <mergeCell ref="C12:D12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9D0121-21B1-42D6-889B-B32F96269FA7}">
  <dimension ref="A1:J31"/>
  <sheetViews>
    <sheetView tabSelected="1" topLeftCell="A19" workbookViewId="0">
      <selection activeCell="N23" sqref="N23"/>
    </sheetView>
  </sheetViews>
  <sheetFormatPr defaultRowHeight="30" customHeight="1" x14ac:dyDescent="0.3"/>
  <cols>
    <col min="1" max="1" width="6.6640625" bestFit="1" customWidth="1"/>
    <col min="2" max="2" width="14.44140625" bestFit="1" customWidth="1"/>
    <col min="3" max="3" width="22.5546875" bestFit="1" customWidth="1"/>
    <col min="4" max="4" width="8.5546875" bestFit="1" customWidth="1"/>
    <col min="5" max="6" width="8.44140625" bestFit="1" customWidth="1"/>
    <col min="7" max="7" width="13.21875" bestFit="1" customWidth="1"/>
    <col min="8" max="8" width="7.6640625" bestFit="1" customWidth="1"/>
    <col min="9" max="9" width="5.88671875" bestFit="1" customWidth="1"/>
    <col min="10" max="10" width="13.44140625" style="68" bestFit="1" customWidth="1"/>
  </cols>
  <sheetData>
    <row r="1" spans="1:10" ht="43.8" customHeight="1" x14ac:dyDescent="0.3">
      <c r="A1" s="51" t="s">
        <v>60</v>
      </c>
      <c r="B1" s="55" t="s">
        <v>61</v>
      </c>
      <c r="C1" s="55" t="s">
        <v>62</v>
      </c>
      <c r="D1" s="56" t="s">
        <v>63</v>
      </c>
      <c r="E1" s="56" t="s">
        <v>64</v>
      </c>
      <c r="F1" s="56" t="s">
        <v>65</v>
      </c>
      <c r="G1" s="55" t="s">
        <v>66</v>
      </c>
      <c r="H1" s="57" t="s">
        <v>67</v>
      </c>
      <c r="I1" s="56" t="s">
        <v>68</v>
      </c>
      <c r="J1" s="58" t="s">
        <v>69</v>
      </c>
    </row>
    <row r="2" spans="1:10" s="60" customFormat="1" ht="30" customHeight="1" x14ac:dyDescent="0.3">
      <c r="A2" s="52">
        <v>1</v>
      </c>
      <c r="B2" s="61" t="s">
        <v>8</v>
      </c>
      <c r="C2" s="61" t="s">
        <v>70</v>
      </c>
      <c r="D2" s="59">
        <f>3156+1200</f>
        <v>4356</v>
      </c>
      <c r="E2" s="59">
        <v>690</v>
      </c>
      <c r="F2" s="59">
        <v>320</v>
      </c>
      <c r="G2" s="59">
        <v>1</v>
      </c>
      <c r="H2" s="62">
        <f t="shared" ref="H2" si="0">(D2*E2)/300/300*G2</f>
        <v>33.396000000000001</v>
      </c>
      <c r="I2" s="59">
        <v>1450</v>
      </c>
      <c r="J2" s="63">
        <f t="shared" ref="J2" si="1">I2*H2</f>
        <v>48424.200000000004</v>
      </c>
    </row>
    <row r="3" spans="1:10" ht="30" customHeight="1" x14ac:dyDescent="0.3">
      <c r="A3" s="52"/>
      <c r="B3" s="53" t="s">
        <v>71</v>
      </c>
      <c r="C3" s="53"/>
      <c r="D3" s="53"/>
      <c r="E3" s="53"/>
      <c r="F3" s="53"/>
      <c r="G3" s="53"/>
      <c r="H3" s="53"/>
      <c r="I3" s="53"/>
      <c r="J3" s="54"/>
    </row>
    <row r="4" spans="1:10" ht="30" customHeight="1" x14ac:dyDescent="0.3">
      <c r="A4" s="52"/>
      <c r="B4" s="53" t="s">
        <v>73</v>
      </c>
      <c r="C4" s="53"/>
      <c r="D4" s="53"/>
      <c r="E4" s="53"/>
      <c r="F4" s="53"/>
      <c r="G4" s="53"/>
      <c r="H4" s="53"/>
      <c r="I4" s="53"/>
      <c r="J4" s="54"/>
    </row>
    <row r="5" spans="1:10" ht="30" customHeight="1" x14ac:dyDescent="0.3">
      <c r="A5" s="52"/>
      <c r="B5" s="53" t="s">
        <v>72</v>
      </c>
      <c r="C5" s="53"/>
      <c r="D5" s="53"/>
      <c r="E5" s="53"/>
      <c r="F5" s="53"/>
      <c r="G5" s="53"/>
      <c r="H5" s="53"/>
      <c r="I5" s="53"/>
      <c r="J5" s="54"/>
    </row>
    <row r="6" spans="1:10" s="60" customFormat="1" ht="30" customHeight="1" x14ac:dyDescent="0.3">
      <c r="A6" s="52">
        <v>2</v>
      </c>
      <c r="B6" s="61" t="s">
        <v>8</v>
      </c>
      <c r="C6" s="61" t="s">
        <v>15</v>
      </c>
      <c r="D6" s="59">
        <f>1200+960</f>
        <v>2160</v>
      </c>
      <c r="E6" s="59">
        <v>300</v>
      </c>
      <c r="F6" s="59">
        <v>600</v>
      </c>
      <c r="G6" s="59">
        <v>1</v>
      </c>
      <c r="H6" s="62">
        <f t="shared" ref="H6" si="2">(D6*E6)/300/300*G6</f>
        <v>7.2</v>
      </c>
      <c r="I6" s="59">
        <v>2500</v>
      </c>
      <c r="J6" s="63">
        <f t="shared" ref="J6" si="3">I6*H6</f>
        <v>18000</v>
      </c>
    </row>
    <row r="7" spans="1:10" ht="30" customHeight="1" x14ac:dyDescent="0.3">
      <c r="A7" s="52"/>
      <c r="B7" s="53" t="s">
        <v>71</v>
      </c>
      <c r="C7" s="53"/>
      <c r="D7" s="53"/>
      <c r="E7" s="53"/>
      <c r="F7" s="53"/>
      <c r="G7" s="53"/>
      <c r="H7" s="53"/>
      <c r="I7" s="53"/>
      <c r="J7" s="54"/>
    </row>
    <row r="8" spans="1:10" ht="30" customHeight="1" x14ac:dyDescent="0.3">
      <c r="A8" s="52"/>
      <c r="B8" s="53" t="s">
        <v>72</v>
      </c>
      <c r="C8" s="53"/>
      <c r="D8" s="53"/>
      <c r="E8" s="53"/>
      <c r="F8" s="53"/>
      <c r="G8" s="53"/>
      <c r="H8" s="53"/>
      <c r="I8" s="53"/>
      <c r="J8" s="54"/>
    </row>
    <row r="9" spans="1:10" s="60" customFormat="1" ht="30" customHeight="1" x14ac:dyDescent="0.3">
      <c r="A9" s="52">
        <v>3</v>
      </c>
      <c r="B9" s="59" t="s">
        <v>8</v>
      </c>
      <c r="C9" s="59" t="s">
        <v>74</v>
      </c>
      <c r="D9" s="59">
        <v>450</v>
      </c>
      <c r="E9" s="59">
        <v>2100</v>
      </c>
      <c r="F9" s="59">
        <v>450</v>
      </c>
      <c r="G9" s="59">
        <v>1</v>
      </c>
      <c r="H9" s="62">
        <f t="shared" ref="H9" si="4">(D9*E9)/300/300*G9</f>
        <v>10.5</v>
      </c>
      <c r="I9" s="59">
        <v>1650</v>
      </c>
      <c r="J9" s="63">
        <f t="shared" ref="J9" si="5">I9*H9</f>
        <v>17325</v>
      </c>
    </row>
    <row r="10" spans="1:10" ht="30" customHeight="1" x14ac:dyDescent="0.3">
      <c r="A10" s="52"/>
      <c r="B10" s="53" t="s">
        <v>71</v>
      </c>
      <c r="C10" s="53"/>
      <c r="D10" s="53"/>
      <c r="E10" s="53"/>
      <c r="F10" s="53"/>
      <c r="G10" s="53"/>
      <c r="H10" s="53"/>
      <c r="I10" s="53"/>
      <c r="J10" s="54"/>
    </row>
    <row r="11" spans="1:10" ht="30" customHeight="1" x14ac:dyDescent="0.3">
      <c r="A11" s="52"/>
      <c r="B11" s="53" t="s">
        <v>73</v>
      </c>
      <c r="C11" s="53"/>
      <c r="D11" s="53"/>
      <c r="E11" s="53"/>
      <c r="F11" s="53"/>
      <c r="G11" s="53"/>
      <c r="H11" s="53"/>
      <c r="I11" s="53"/>
      <c r="J11" s="54"/>
    </row>
    <row r="12" spans="1:10" ht="30" customHeight="1" x14ac:dyDescent="0.3">
      <c r="A12" s="52"/>
      <c r="B12" s="53" t="s">
        <v>75</v>
      </c>
      <c r="C12" s="53"/>
      <c r="D12" s="53"/>
      <c r="E12" s="53"/>
      <c r="F12" s="53"/>
      <c r="G12" s="53"/>
      <c r="H12" s="53"/>
      <c r="I12" s="53"/>
      <c r="J12" s="54"/>
    </row>
    <row r="13" spans="1:10" s="60" customFormat="1" ht="30" customHeight="1" x14ac:dyDescent="0.3">
      <c r="A13" s="52">
        <v>4</v>
      </c>
      <c r="B13" s="61" t="s">
        <v>34</v>
      </c>
      <c r="C13" s="61" t="s">
        <v>33</v>
      </c>
      <c r="D13" s="59">
        <f>2000+1020</f>
        <v>3020</v>
      </c>
      <c r="E13" s="59">
        <v>2100</v>
      </c>
      <c r="F13" s="59">
        <v>600</v>
      </c>
      <c r="G13" s="59">
        <v>1</v>
      </c>
      <c r="H13" s="62">
        <f>(D13*E13)/300/300*G13</f>
        <v>70.466666666666669</v>
      </c>
      <c r="I13" s="59">
        <v>1650</v>
      </c>
      <c r="J13" s="63">
        <f t="shared" ref="J13" si="6">I13*H13</f>
        <v>116270</v>
      </c>
    </row>
    <row r="14" spans="1:10" ht="30" customHeight="1" x14ac:dyDescent="0.3">
      <c r="A14" s="52"/>
      <c r="B14" s="53" t="s">
        <v>71</v>
      </c>
      <c r="C14" s="53"/>
      <c r="D14" s="53"/>
      <c r="E14" s="53"/>
      <c r="F14" s="53"/>
      <c r="G14" s="53"/>
      <c r="H14" s="53"/>
      <c r="I14" s="53"/>
      <c r="J14" s="54"/>
    </row>
    <row r="15" spans="1:10" ht="30" customHeight="1" x14ac:dyDescent="0.3">
      <c r="A15" s="52"/>
      <c r="B15" s="53" t="s">
        <v>73</v>
      </c>
      <c r="C15" s="53"/>
      <c r="D15" s="53"/>
      <c r="E15" s="53"/>
      <c r="F15" s="53"/>
      <c r="G15" s="53"/>
      <c r="H15" s="53"/>
      <c r="I15" s="53"/>
      <c r="J15" s="54"/>
    </row>
    <row r="16" spans="1:10" ht="30" customHeight="1" x14ac:dyDescent="0.3">
      <c r="A16" s="52"/>
      <c r="B16" s="53" t="s">
        <v>72</v>
      </c>
      <c r="C16" s="53"/>
      <c r="D16" s="53"/>
      <c r="E16" s="53"/>
      <c r="F16" s="53"/>
      <c r="G16" s="53"/>
      <c r="H16" s="53"/>
      <c r="I16" s="53"/>
      <c r="J16" s="54"/>
    </row>
    <row r="17" spans="1:10" s="60" customFormat="1" ht="30" customHeight="1" x14ac:dyDescent="0.3">
      <c r="A17" s="52">
        <v>5</v>
      </c>
      <c r="B17" s="61" t="s">
        <v>34</v>
      </c>
      <c r="C17" s="61" t="s">
        <v>31</v>
      </c>
      <c r="D17" s="59">
        <f>2000+1020</f>
        <v>3020</v>
      </c>
      <c r="E17" s="59">
        <v>650</v>
      </c>
      <c r="F17" s="59">
        <v>600</v>
      </c>
      <c r="G17" s="59">
        <v>1</v>
      </c>
      <c r="H17" s="62">
        <f t="shared" ref="H17" si="7">(D17*E17)/300/300*G17</f>
        <v>21.81111111111111</v>
      </c>
      <c r="I17" s="59">
        <v>800</v>
      </c>
      <c r="J17" s="63">
        <f t="shared" ref="J17" si="8">I17*H17</f>
        <v>17448.888888888887</v>
      </c>
    </row>
    <row r="18" spans="1:10" ht="30" customHeight="1" x14ac:dyDescent="0.3">
      <c r="A18" s="52"/>
      <c r="B18" s="53" t="s">
        <v>76</v>
      </c>
      <c r="C18" s="53"/>
      <c r="D18" s="53"/>
      <c r="E18" s="53"/>
      <c r="F18" s="53"/>
      <c r="G18" s="53"/>
      <c r="H18" s="53"/>
      <c r="I18" s="53"/>
      <c r="J18" s="54"/>
    </row>
    <row r="19" spans="1:10" ht="30" customHeight="1" x14ac:dyDescent="0.3">
      <c r="A19" s="52"/>
      <c r="B19" s="53" t="s">
        <v>73</v>
      </c>
      <c r="C19" s="53"/>
      <c r="D19" s="53"/>
      <c r="E19" s="53"/>
      <c r="F19" s="53"/>
      <c r="G19" s="53"/>
      <c r="H19" s="53"/>
      <c r="I19" s="53"/>
      <c r="J19" s="54"/>
    </row>
    <row r="20" spans="1:10" ht="30" customHeight="1" x14ac:dyDescent="0.3">
      <c r="A20" s="52"/>
      <c r="B20" s="53" t="s">
        <v>72</v>
      </c>
      <c r="C20" s="53"/>
      <c r="D20" s="53"/>
      <c r="E20" s="53"/>
      <c r="F20" s="53"/>
      <c r="G20" s="53"/>
      <c r="H20" s="53"/>
      <c r="I20" s="53"/>
      <c r="J20" s="54"/>
    </row>
    <row r="21" spans="1:10" s="60" customFormat="1" ht="30" customHeight="1" x14ac:dyDescent="0.3">
      <c r="A21" s="69">
        <v>6</v>
      </c>
      <c r="B21" s="59" t="s">
        <v>77</v>
      </c>
      <c r="C21" s="64" t="s">
        <v>78</v>
      </c>
      <c r="D21" s="64"/>
      <c r="E21" s="64"/>
      <c r="F21" s="64"/>
      <c r="G21" s="64"/>
      <c r="H21" s="64"/>
      <c r="I21" s="64"/>
      <c r="J21" s="63">
        <f>(2500+740+500)*1.3</f>
        <v>4862</v>
      </c>
    </row>
    <row r="22" spans="1:10" s="60" customFormat="1" ht="30" customHeight="1" x14ac:dyDescent="0.3">
      <c r="A22" s="69">
        <v>7</v>
      </c>
      <c r="B22" s="59" t="s">
        <v>77</v>
      </c>
      <c r="C22" s="64" t="s">
        <v>79</v>
      </c>
      <c r="D22" s="64"/>
      <c r="E22" s="64"/>
      <c r="F22" s="64"/>
      <c r="G22" s="64"/>
      <c r="H22" s="64"/>
      <c r="I22" s="64"/>
      <c r="J22" s="63">
        <f>(2500+7*2*600+500)*1.3</f>
        <v>14820</v>
      </c>
    </row>
    <row r="23" spans="1:10" s="60" customFormat="1" ht="30" customHeight="1" x14ac:dyDescent="0.3">
      <c r="A23" s="69">
        <v>8</v>
      </c>
      <c r="B23" s="59" t="s">
        <v>8</v>
      </c>
      <c r="C23" s="64" t="s">
        <v>80</v>
      </c>
      <c r="D23" s="64"/>
      <c r="E23" s="64"/>
      <c r="F23" s="64"/>
      <c r="G23" s="64"/>
      <c r="H23" s="64"/>
      <c r="I23" s="64"/>
      <c r="J23" s="63" t="s">
        <v>81</v>
      </c>
    </row>
    <row r="24" spans="1:10" s="60" customFormat="1" ht="30" customHeight="1" x14ac:dyDescent="0.3">
      <c r="A24" s="52">
        <v>9</v>
      </c>
      <c r="B24" s="59" t="s">
        <v>85</v>
      </c>
      <c r="C24" s="64" t="s">
        <v>83</v>
      </c>
      <c r="D24" s="64"/>
      <c r="E24" s="64"/>
      <c r="F24" s="64"/>
      <c r="G24" s="64"/>
      <c r="H24" s="64"/>
      <c r="I24" s="64"/>
      <c r="J24" s="63">
        <v>28000</v>
      </c>
    </row>
    <row r="25" spans="1:10" ht="30" customHeight="1" x14ac:dyDescent="0.3">
      <c r="A25" s="52"/>
      <c r="B25" s="65" t="s">
        <v>82</v>
      </c>
      <c r="C25" s="65"/>
      <c r="D25" s="65"/>
      <c r="E25" s="65"/>
      <c r="F25" s="65"/>
      <c r="G25" s="65"/>
      <c r="H25" s="65"/>
      <c r="I25" s="65"/>
      <c r="J25" s="67"/>
    </row>
    <row r="26" spans="1:10" s="60" customFormat="1" ht="30" customHeight="1" x14ac:dyDescent="0.3">
      <c r="A26" s="69">
        <v>10</v>
      </c>
      <c r="B26" s="64" t="s">
        <v>4</v>
      </c>
      <c r="C26" s="64" t="s">
        <v>5</v>
      </c>
      <c r="D26" s="64"/>
      <c r="E26" s="64"/>
      <c r="F26" s="64"/>
      <c r="G26" s="64"/>
      <c r="H26" s="64"/>
      <c r="I26" s="64"/>
      <c r="J26" s="63">
        <v>7500</v>
      </c>
    </row>
    <row r="27" spans="1:10" s="60" customFormat="1" ht="30" customHeight="1" x14ac:dyDescent="0.3">
      <c r="A27" s="69">
        <v>11</v>
      </c>
      <c r="B27" s="64"/>
      <c r="C27" s="66" t="s">
        <v>7</v>
      </c>
      <c r="D27" s="66"/>
      <c r="E27" s="66"/>
      <c r="F27" s="66"/>
      <c r="G27" s="66"/>
      <c r="H27" s="66"/>
      <c r="I27" s="66"/>
      <c r="J27" s="63">
        <v>6000</v>
      </c>
    </row>
    <row r="28" spans="1:10" s="60" customFormat="1" ht="30" customHeight="1" x14ac:dyDescent="0.3">
      <c r="A28" s="69">
        <v>12</v>
      </c>
      <c r="B28" s="64"/>
      <c r="C28" s="64" t="s">
        <v>84</v>
      </c>
      <c r="D28" s="64"/>
      <c r="E28" s="64"/>
      <c r="F28" s="64"/>
      <c r="G28" s="64"/>
      <c r="H28" s="64"/>
      <c r="I28" s="64"/>
      <c r="J28" s="63">
        <v>20000</v>
      </c>
    </row>
    <row r="29" spans="1:10" s="73" customFormat="1" ht="30" customHeight="1" thickBot="1" x14ac:dyDescent="0.35">
      <c r="A29" s="70" t="s">
        <v>6</v>
      </c>
      <c r="B29" s="71"/>
      <c r="C29" s="71"/>
      <c r="D29" s="71"/>
      <c r="E29" s="71"/>
      <c r="F29" s="71"/>
      <c r="G29" s="71"/>
      <c r="H29" s="71"/>
      <c r="I29" s="71"/>
      <c r="J29" s="72">
        <f>SUM(J2:J28)</f>
        <v>298650.08888888889</v>
      </c>
    </row>
    <row r="30" spans="1:10" ht="30" customHeight="1" x14ac:dyDescent="0.3">
      <c r="B30" s="60"/>
    </row>
    <row r="31" spans="1:10" ht="30" customHeight="1" x14ac:dyDescent="0.3">
      <c r="B31" s="60"/>
    </row>
  </sheetData>
  <mergeCells count="30">
    <mergeCell ref="A29:I29"/>
    <mergeCell ref="B25:J25"/>
    <mergeCell ref="B26:B28"/>
    <mergeCell ref="A13:A16"/>
    <mergeCell ref="A17:A20"/>
    <mergeCell ref="A24:A25"/>
    <mergeCell ref="C26:I26"/>
    <mergeCell ref="C27:I27"/>
    <mergeCell ref="C28:I28"/>
    <mergeCell ref="C24:I24"/>
    <mergeCell ref="B15:J15"/>
    <mergeCell ref="B16:J16"/>
    <mergeCell ref="B18:J18"/>
    <mergeCell ref="B19:J19"/>
    <mergeCell ref="B20:J20"/>
    <mergeCell ref="C21:I21"/>
    <mergeCell ref="C22:I22"/>
    <mergeCell ref="C23:I23"/>
    <mergeCell ref="A9:A12"/>
    <mergeCell ref="B10:J10"/>
    <mergeCell ref="B11:J11"/>
    <mergeCell ref="B12:J12"/>
    <mergeCell ref="B14:J14"/>
    <mergeCell ref="A2:A5"/>
    <mergeCell ref="B3:J3"/>
    <mergeCell ref="B4:J4"/>
    <mergeCell ref="B5:J5"/>
    <mergeCell ref="A6:A8"/>
    <mergeCell ref="B7:J7"/>
    <mergeCell ref="B8:J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12-09</vt:lpstr>
      <vt:lpstr>07-01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Aravind Srinivasan</dc:creator>
  <cp:lastModifiedBy>Aravind Srinivasan</cp:lastModifiedBy>
  <cp:lastPrinted>2025-02-17T05:33:07Z</cp:lastPrinted>
  <dcterms:created xsi:type="dcterms:W3CDTF">2025-02-16T06:08:33Z</dcterms:created>
  <dcterms:modified xsi:type="dcterms:W3CDTF">2026-01-07T09:01:12Z</dcterms:modified>
</cp:coreProperties>
</file>